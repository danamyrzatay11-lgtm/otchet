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namyrzatay/Documents/my-first-site/"/>
    </mc:Choice>
  </mc:AlternateContent>
  <xr:revisionPtr revIDLastSave="0" documentId="13_ncr:1_{69A313AB-560A-F44C-946B-940B87231EBD}" xr6:coauthVersionLast="47" xr6:coauthVersionMax="47" xr10:uidLastSave="{00000000-0000-0000-0000-000000000000}"/>
  <bookViews>
    <workbookView xWindow="0" yWindow="660" windowWidth="29400" windowHeight="17300" activeTab="1" xr2:uid="{00000000-000D-0000-FFFF-FFFF00000000}"/>
  </bookViews>
  <sheets>
    <sheet name="Финансовая модель" sheetId="1" r:id="rId1"/>
    <sheet name="Сценари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15" i="2"/>
  <c r="C14" i="2"/>
  <c r="B21" i="2" s="1"/>
  <c r="C13" i="2"/>
  <c r="C12" i="2"/>
  <c r="B8" i="2"/>
  <c r="B7" i="2"/>
  <c r="B6" i="2"/>
  <c r="B5" i="2"/>
  <c r="B4" i="2"/>
  <c r="B15" i="2" s="1"/>
  <c r="B27" i="1"/>
  <c r="C26" i="1"/>
  <c r="B26" i="1"/>
  <c r="B18" i="1"/>
  <c r="B19" i="1" s="1"/>
  <c r="B20" i="1" s="1"/>
  <c r="B16" i="1"/>
  <c r="C27" i="1" s="1"/>
  <c r="B15" i="1"/>
  <c r="B17" i="1" s="1"/>
  <c r="B22" i="1" l="1"/>
  <c r="B30" i="1" s="1"/>
  <c r="B21" i="1"/>
  <c r="C28" i="1"/>
  <c r="B28" i="1"/>
  <c r="D15" i="2"/>
  <c r="E15" i="2" s="1"/>
  <c r="F15" i="2" s="1"/>
  <c r="B12" i="2"/>
  <c r="B14" i="2"/>
  <c r="B16" i="2"/>
  <c r="B13" i="2"/>
  <c r="D13" i="2"/>
  <c r="D16" i="2" l="1"/>
  <c r="E16" i="2" s="1"/>
  <c r="F16" i="2" s="1"/>
  <c r="D12" i="2"/>
  <c r="E12" i="2" s="1"/>
  <c r="F12" i="2" s="1"/>
  <c r="C29" i="1"/>
  <c r="B29" i="1"/>
  <c r="B20" i="2"/>
  <c r="D14" i="2"/>
  <c r="B22" i="2" s="1"/>
  <c r="E13" i="2"/>
  <c r="F13" i="2" s="1"/>
  <c r="E14" i="2" l="1"/>
  <c r="B23" i="2" l="1"/>
  <c r="F14" i="2"/>
  <c r="B24" i="2" s="1"/>
</calcChain>
</file>

<file path=xl/sharedStrings.xml><?xml version="1.0" encoding="utf-8"?>
<sst xmlns="http://schemas.openxmlformats.org/spreadsheetml/2006/main" count="73" uniqueCount="60">
  <si>
    <t>VIBE42 — Финансовая модель проекта обучения</t>
  </si>
  <si>
    <t>ВХОДНЫЕ ДАННЫЕ</t>
  </si>
  <si>
    <t>Параметр</t>
  </si>
  <si>
    <t>Значение</t>
  </si>
  <si>
    <t>Ед. изм.</t>
  </si>
  <si>
    <t>Стоимость обучения за 1 участника</t>
  </si>
  <si>
    <t>тг</t>
  </si>
  <si>
    <t>Количество участников в месяц</t>
  </si>
  <si>
    <t>чел.</t>
  </si>
  <si>
    <t>Количество инженеров</t>
  </si>
  <si>
    <t>Максимальная оплата инженера</t>
  </si>
  <si>
    <t>Оклад руководителя проекта</t>
  </si>
  <si>
    <t>Процент руководителя от выручки</t>
  </si>
  <si>
    <t>%</t>
  </si>
  <si>
    <t>Максимальная зарплата руководителя</t>
  </si>
  <si>
    <t>РАСЧЁТЫ</t>
  </si>
  <si>
    <t>Показатель</t>
  </si>
  <si>
    <t>Сумма</t>
  </si>
  <si>
    <t>Комментарий</t>
  </si>
  <si>
    <t>Общая выручка</t>
  </si>
  <si>
    <t>цена × участники</t>
  </si>
  <si>
    <t>ФОТ инженеров</t>
  </si>
  <si>
    <t>инженеры × ставка</t>
  </si>
  <si>
    <t>Доля ФОТ инженеров от выручки</t>
  </si>
  <si>
    <t>ФОТ / выручка</t>
  </si>
  <si>
    <t>Бонус руководителя</t>
  </si>
  <si>
    <t>выручка × %</t>
  </si>
  <si>
    <t>Расчётный доход руководителя</t>
  </si>
  <si>
    <t>оклад + бонус</t>
  </si>
  <si>
    <t>Фактическая выплата руководителю</t>
  </si>
  <si>
    <t>ограничен лимитом</t>
  </si>
  <si>
    <t>Остаток (прибыль проекта)</t>
  </si>
  <si>
    <t>выручка − ФОТ − рук.</t>
  </si>
  <si>
    <t>Рентабельность проекта</t>
  </si>
  <si>
    <t>прибыль / выручка</t>
  </si>
  <si>
    <t>КЛЮЧЕВЫЕ ПОКАЗАТЕЛИ ЭФФЕКТИВНОСТИ</t>
  </si>
  <si>
    <t>На 1 участника</t>
  </si>
  <si>
    <t>Выручка</t>
  </si>
  <si>
    <t>Выплата руководителю</t>
  </si>
  <si>
    <t>Прибыль проекта</t>
  </si>
  <si>
    <t>Рентабельность (%)</t>
  </si>
  <si>
    <t>—</t>
  </si>
  <si>
    <t>* Синий цвет — входные данные (изменяемые). Чёрный — расчётные формулы. Все значения в тенге (тг).</t>
  </si>
  <si>
    <t>VIBE42 — Сценарный анализ</t>
  </si>
  <si>
    <t>ПАРАМЕТРЫ (связаны с листом «Финансовая модель»)</t>
  </si>
  <si>
    <t>Стоимость обучения (тг)</t>
  </si>
  <si>
    <t>Макс. оплата инженера (тг)</t>
  </si>
  <si>
    <t>Оклад руководителя (тг)</t>
  </si>
  <si>
    <t>% руководителя от выручки</t>
  </si>
  <si>
    <t>Макс. зарплата руководителя (тг)</t>
  </si>
  <si>
    <t>СЦЕНАРНЫЙ АНАЛИЗ</t>
  </si>
  <si>
    <t>Участников</t>
  </si>
  <si>
    <t>Выручка (тг)</t>
  </si>
  <si>
    <t>ФОТ инженеров (тг)</t>
  </si>
  <si>
    <t>Доход руководителя (тг)</t>
  </si>
  <si>
    <t>Прибыль проекта (тг)</t>
  </si>
  <si>
    <t>Рентабельность</t>
  </si>
  <si>
    <t>ИТОГОВЫЕ ПОКАЗАТЕЛИ (базовый сценарий — 250 участников)</t>
  </si>
  <si>
    <t>Значение (тг / %)</t>
  </si>
  <si>
    <t>* Зелёный цвет — значения, связанные с листом «Финансовая модель». Чёрный — расчётные формулы. Синий — изменяемые входные данные.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</si>
</sst>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тг&quot;;\(#,##0\ &quot;тг&quot;\);\-"/>
    <numFmt numFmtId="165" formatCode="0.0%"/>
  </numFmts>
  <fonts count="1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1F1F1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1F1F1F"/>
      <name val="Arial"/>
      <family val="2"/>
    </font>
    <font>
      <b/>
      <sz val="10"/>
      <color rgb="FF000000"/>
      <name val="Arial"/>
      <family val="2"/>
    </font>
    <font>
      <i/>
      <sz val="8"/>
      <color rgb="FF666666"/>
      <name val="Arial"/>
      <family val="2"/>
    </font>
    <font>
      <sz val="10"/>
      <color rgb="FF008000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sz val="12"/>
      <color rgb="FF0000FF"/>
      <name val="Arial"/>
      <family val="2"/>
    </font>
    <font>
      <sz val="12"/>
      <color rgb="FF666666"/>
      <name val="Arial"/>
      <family val="2"/>
    </font>
    <font>
      <sz val="12"/>
      <color rgb="FF000000"/>
      <name val="Arial"/>
      <family val="2"/>
    </font>
    <font>
      <i/>
      <sz val="12"/>
      <color rgb="FF666666"/>
      <name val="Arial"/>
      <family val="2"/>
    </font>
    <font>
      <b/>
      <sz val="12"/>
      <color rgb="FF1F1F1F"/>
      <name val="Arial"/>
      <family val="2"/>
    </font>
    <font>
      <b/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596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6E4F7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 indent="1"/>
    </xf>
    <xf numFmtId="164" fontId="9" fillId="6" borderId="1" xfId="0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 indent="1"/>
    </xf>
    <xf numFmtId="0" fontId="11" fillId="0" borderId="0" xfId="0" applyFont="1"/>
    <xf numFmtId="0" fontId="10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164" fontId="13" fillId="6" borderId="1" xfId="0" applyNumberFormat="1" applyFont="1" applyFill="1" applyBorder="1" applyAlignment="1">
      <alignment horizontal="right" vertical="center"/>
    </xf>
    <xf numFmtId="0" fontId="14" fillId="5" borderId="1" xfId="0" applyFont="1" applyFill="1" applyBorder="1" applyAlignment="1">
      <alignment horizontal="center" vertical="center"/>
    </xf>
    <xf numFmtId="3" fontId="13" fillId="6" borderId="1" xfId="0" applyNumberFormat="1" applyFont="1" applyFill="1" applyBorder="1" applyAlignment="1">
      <alignment horizontal="right" vertical="center"/>
    </xf>
    <xf numFmtId="165" fontId="13" fillId="6" borderId="1" xfId="0" applyNumberFormat="1" applyFont="1" applyFill="1" applyBorder="1" applyAlignment="1">
      <alignment horizontal="right" vertical="center"/>
    </xf>
    <xf numFmtId="164" fontId="15" fillId="7" borderId="1" xfId="0" applyNumberFormat="1" applyFont="1" applyFill="1" applyBorder="1" applyAlignment="1">
      <alignment horizontal="right" vertical="center"/>
    </xf>
    <xf numFmtId="0" fontId="16" fillId="5" borderId="1" xfId="0" applyFont="1" applyFill="1" applyBorder="1" applyAlignment="1">
      <alignment horizontal="left" vertical="center" indent="1"/>
    </xf>
    <xf numFmtId="165" fontId="15" fillId="7" borderId="1" xfId="0" applyNumberFormat="1" applyFont="1" applyFill="1" applyBorder="1" applyAlignment="1">
      <alignment horizontal="right" vertical="center"/>
    </xf>
    <xf numFmtId="0" fontId="17" fillId="5" borderId="1" xfId="0" applyFont="1" applyFill="1" applyBorder="1" applyAlignment="1">
      <alignment horizontal="left" vertical="center"/>
    </xf>
    <xf numFmtId="164" fontId="18" fillId="8" borderId="1" xfId="0" applyNumberFormat="1" applyFont="1" applyFill="1" applyBorder="1" applyAlignment="1">
      <alignment horizontal="right" vertical="center"/>
    </xf>
    <xf numFmtId="165" fontId="18" fillId="8" borderId="1" xfId="0" applyNumberFormat="1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indent="1"/>
    </xf>
    <xf numFmtId="0" fontId="11" fillId="0" borderId="2" xfId="0" applyFont="1" applyBorder="1"/>
    <xf numFmtId="0" fontId="11" fillId="0" borderId="3" xfId="0" applyFont="1" applyBorder="1"/>
    <xf numFmtId="0" fontId="10" fillId="2" borderId="0" xfId="0" applyFont="1" applyFill="1" applyAlignment="1">
      <alignment horizontal="center" vertical="center"/>
    </xf>
    <xf numFmtId="0" fontId="11" fillId="0" borderId="0" xfId="0" applyFont="1"/>
    <xf numFmtId="0" fontId="1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2"/>
  <sheetViews>
    <sheetView workbookViewId="0">
      <pane ySplit="4" topLeftCell="A5" activePane="bottomLeft" state="frozen"/>
      <selection pane="bottomLeft" activeCell="D11" sqref="D11"/>
    </sheetView>
  </sheetViews>
  <sheetFormatPr baseColWidth="10" defaultColWidth="8.83203125" defaultRowHeight="16" x14ac:dyDescent="0.2"/>
  <cols>
    <col min="1" max="1" width="42" style="15" customWidth="1"/>
    <col min="2" max="2" width="24.33203125" style="15" customWidth="1"/>
    <col min="3" max="3" width="25" style="15" customWidth="1"/>
    <col min="4" max="16384" width="8.83203125" style="15"/>
  </cols>
  <sheetData>
    <row r="1" spans="1:3" ht="40" customHeight="1" x14ac:dyDescent="0.2">
      <c r="A1" s="32" t="s">
        <v>0</v>
      </c>
      <c r="B1" s="33"/>
      <c r="C1" s="33"/>
    </row>
    <row r="2" spans="1:3" ht="8" customHeight="1" x14ac:dyDescent="0.2"/>
    <row r="3" spans="1:3" ht="24" customHeight="1" x14ac:dyDescent="0.2">
      <c r="A3" s="29" t="s">
        <v>1</v>
      </c>
      <c r="B3" s="30"/>
      <c r="C3" s="31"/>
    </row>
    <row r="4" spans="1:3" ht="20" customHeight="1" x14ac:dyDescent="0.2">
      <c r="A4" s="16" t="s">
        <v>2</v>
      </c>
      <c r="B4" s="16" t="s">
        <v>3</v>
      </c>
      <c r="C4" s="16" t="s">
        <v>4</v>
      </c>
    </row>
    <row r="5" spans="1:3" ht="18" customHeight="1" x14ac:dyDescent="0.2">
      <c r="A5" s="17" t="s">
        <v>5</v>
      </c>
      <c r="B5" s="18">
        <v>100000</v>
      </c>
      <c r="C5" s="19" t="s">
        <v>6</v>
      </c>
    </row>
    <row r="6" spans="1:3" ht="18" customHeight="1" x14ac:dyDescent="0.2">
      <c r="A6" s="17" t="s">
        <v>7</v>
      </c>
      <c r="B6" s="20">
        <v>250</v>
      </c>
      <c r="C6" s="19" t="s">
        <v>8</v>
      </c>
    </row>
    <row r="7" spans="1:3" ht="18" customHeight="1" x14ac:dyDescent="0.2">
      <c r="A7" s="17" t="s">
        <v>9</v>
      </c>
      <c r="B7" s="20">
        <v>25</v>
      </c>
      <c r="C7" s="19" t="s">
        <v>8</v>
      </c>
    </row>
    <row r="8" spans="1:3" ht="18" customHeight="1" x14ac:dyDescent="0.2">
      <c r="A8" s="17" t="s">
        <v>10</v>
      </c>
      <c r="B8" s="18">
        <v>100000</v>
      </c>
      <c r="C8" s="19" t="s">
        <v>6</v>
      </c>
    </row>
    <row r="9" spans="1:3" ht="18" customHeight="1" x14ac:dyDescent="0.2">
      <c r="A9" s="17" t="s">
        <v>11</v>
      </c>
      <c r="B9" s="18">
        <v>500000</v>
      </c>
      <c r="C9" s="19" t="s">
        <v>6</v>
      </c>
    </row>
    <row r="10" spans="1:3" ht="18" customHeight="1" x14ac:dyDescent="0.2">
      <c r="A10" s="17" t="s">
        <v>12</v>
      </c>
      <c r="B10" s="21">
        <v>0.03</v>
      </c>
      <c r="C10" s="19" t="s">
        <v>13</v>
      </c>
    </row>
    <row r="11" spans="1:3" ht="18" customHeight="1" x14ac:dyDescent="0.2">
      <c r="A11" s="17" t="s">
        <v>14</v>
      </c>
      <c r="B11" s="18">
        <v>1200000</v>
      </c>
      <c r="C11" s="19" t="s">
        <v>6</v>
      </c>
    </row>
    <row r="12" spans="1:3" ht="8" customHeight="1" x14ac:dyDescent="0.2"/>
    <row r="13" spans="1:3" ht="24" customHeight="1" x14ac:dyDescent="0.2">
      <c r="A13" s="29" t="s">
        <v>15</v>
      </c>
      <c r="B13" s="30"/>
      <c r="C13" s="31"/>
    </row>
    <row r="14" spans="1:3" ht="20" customHeight="1" x14ac:dyDescent="0.2">
      <c r="A14" s="16" t="s">
        <v>16</v>
      </c>
      <c r="B14" s="16" t="s">
        <v>17</v>
      </c>
      <c r="C14" s="16" t="s">
        <v>18</v>
      </c>
    </row>
    <row r="15" spans="1:3" ht="18" customHeight="1" x14ac:dyDescent="0.2">
      <c r="A15" s="17" t="s">
        <v>19</v>
      </c>
      <c r="B15" s="22">
        <f>B5*B6</f>
        <v>25000000</v>
      </c>
      <c r="C15" s="23" t="s">
        <v>20</v>
      </c>
    </row>
    <row r="16" spans="1:3" ht="18" customHeight="1" x14ac:dyDescent="0.2">
      <c r="A16" s="17" t="s">
        <v>21</v>
      </c>
      <c r="B16" s="22">
        <f>B7*B8</f>
        <v>2500000</v>
      </c>
      <c r="C16" s="23" t="s">
        <v>22</v>
      </c>
    </row>
    <row r="17" spans="1:3" ht="18" customHeight="1" x14ac:dyDescent="0.2">
      <c r="A17" s="17" t="s">
        <v>23</v>
      </c>
      <c r="B17" s="24">
        <f>IF(B15=0,0,B16/B15)</f>
        <v>0.1</v>
      </c>
      <c r="C17" s="23" t="s">
        <v>24</v>
      </c>
    </row>
    <row r="18" spans="1:3" ht="18" customHeight="1" x14ac:dyDescent="0.2">
      <c r="A18" s="17" t="s">
        <v>25</v>
      </c>
      <c r="B18" s="22">
        <f>B15*B10</f>
        <v>750000</v>
      </c>
      <c r="C18" s="23" t="s">
        <v>26</v>
      </c>
    </row>
    <row r="19" spans="1:3" ht="18" customHeight="1" x14ac:dyDescent="0.2">
      <c r="A19" s="17" t="s">
        <v>27</v>
      </c>
      <c r="B19" s="22">
        <f>B9+B18</f>
        <v>1250000</v>
      </c>
      <c r="C19" s="23" t="s">
        <v>28</v>
      </c>
    </row>
    <row r="20" spans="1:3" ht="18" customHeight="1" x14ac:dyDescent="0.2">
      <c r="A20" s="17" t="s">
        <v>29</v>
      </c>
      <c r="B20" s="22">
        <f>MIN(B19,B11)</f>
        <v>1200000</v>
      </c>
      <c r="C20" s="23" t="s">
        <v>30</v>
      </c>
    </row>
    <row r="21" spans="1:3" ht="18" customHeight="1" x14ac:dyDescent="0.2">
      <c r="A21" s="25" t="s">
        <v>31</v>
      </c>
      <c r="B21" s="26">
        <f>B15-B16-B20</f>
        <v>21300000</v>
      </c>
      <c r="C21" s="23" t="s">
        <v>32</v>
      </c>
    </row>
    <row r="22" spans="1:3" ht="18" customHeight="1" x14ac:dyDescent="0.2">
      <c r="A22" s="25" t="s">
        <v>33</v>
      </c>
      <c r="B22" s="27">
        <f>IF(B15=0,0,(B15-B16-B20)/B15)</f>
        <v>0.85199999999999998</v>
      </c>
      <c r="C22" s="23" t="s">
        <v>34</v>
      </c>
    </row>
    <row r="23" spans="1:3" ht="8" customHeight="1" x14ac:dyDescent="0.2"/>
    <row r="24" spans="1:3" ht="24" customHeight="1" x14ac:dyDescent="0.2">
      <c r="A24" s="29" t="s">
        <v>35</v>
      </c>
      <c r="B24" s="30"/>
      <c r="C24" s="31"/>
    </row>
    <row r="25" spans="1:3" ht="20" customHeight="1" x14ac:dyDescent="0.2">
      <c r="A25" s="16" t="s">
        <v>16</v>
      </c>
      <c r="B25" s="16" t="s">
        <v>3</v>
      </c>
      <c r="C25" s="16" t="s">
        <v>36</v>
      </c>
    </row>
    <row r="26" spans="1:3" ht="18" customHeight="1" x14ac:dyDescent="0.2">
      <c r="A26" s="17" t="s">
        <v>37</v>
      </c>
      <c r="B26" s="22">
        <f>B15</f>
        <v>25000000</v>
      </c>
      <c r="C26" s="22">
        <f>IF(B6=0,0,B15/B6)</f>
        <v>100000</v>
      </c>
    </row>
    <row r="27" spans="1:3" ht="18" customHeight="1" x14ac:dyDescent="0.2">
      <c r="A27" s="17" t="s">
        <v>21</v>
      </c>
      <c r="B27" s="22">
        <f>B16</f>
        <v>2500000</v>
      </c>
      <c r="C27" s="22">
        <f>IF(B6=0,0,B16/B6)</f>
        <v>10000</v>
      </c>
    </row>
    <row r="28" spans="1:3" ht="18" customHeight="1" x14ac:dyDescent="0.2">
      <c r="A28" s="17" t="s">
        <v>38</v>
      </c>
      <c r="B28" s="22">
        <f>B20</f>
        <v>1200000</v>
      </c>
      <c r="C28" s="22">
        <f>IF(B6=0,0,B20/B6)</f>
        <v>4800</v>
      </c>
    </row>
    <row r="29" spans="1:3" ht="18" customHeight="1" x14ac:dyDescent="0.2">
      <c r="A29" s="17" t="s">
        <v>39</v>
      </c>
      <c r="B29" s="22">
        <f>B21</f>
        <v>21300000</v>
      </c>
      <c r="C29" s="22">
        <f>IF(B6=0,0,B21/B6)</f>
        <v>85200</v>
      </c>
    </row>
    <row r="30" spans="1:3" ht="18" customHeight="1" x14ac:dyDescent="0.2">
      <c r="A30" s="17" t="s">
        <v>40</v>
      </c>
      <c r="B30" s="24">
        <f>B22</f>
        <v>0.85199999999999998</v>
      </c>
      <c r="C30" s="28" t="s">
        <v>41</v>
      </c>
    </row>
    <row r="31" spans="1:3" ht="8" customHeight="1" x14ac:dyDescent="0.2"/>
    <row r="32" spans="1:3" x14ac:dyDescent="0.2">
      <c r="A32" s="34" t="s">
        <v>42</v>
      </c>
      <c r="B32" s="33"/>
      <c r="C32" s="33"/>
    </row>
  </sheetData>
  <mergeCells count="5">
    <mergeCell ref="A13:C13"/>
    <mergeCell ref="A1:C1"/>
    <mergeCell ref="A32:C32"/>
    <mergeCell ref="A3:C3"/>
    <mergeCell ref="A24:C24"/>
  </mergeCells>
  <pageMargins left="0.5" right="0.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6"/>
  <sheetViews>
    <sheetView tabSelected="1" workbookViewId="0">
      <pane ySplit="11" topLeftCell="A12" activePane="bottomLeft" state="frozen"/>
      <selection pane="bottomLeft" activeCell="A12" sqref="A12"/>
    </sheetView>
  </sheetViews>
  <sheetFormatPr baseColWidth="10" defaultColWidth="8.83203125" defaultRowHeight="15" x14ac:dyDescent="0.2"/>
  <cols>
    <col min="1" max="1" width="28.83203125" customWidth="1"/>
    <col min="2" max="2" width="22" customWidth="1"/>
    <col min="3" max="3" width="24" customWidth="1"/>
    <col min="4" max="4" width="26" customWidth="1"/>
    <col min="5" max="5" width="20" customWidth="1"/>
    <col min="6" max="6" width="16" customWidth="1"/>
  </cols>
  <sheetData>
    <row r="1" spans="1:6" ht="40" customHeight="1" x14ac:dyDescent="0.2">
      <c r="A1" s="40" t="s">
        <v>43</v>
      </c>
      <c r="B1" s="36"/>
      <c r="C1" s="36"/>
      <c r="D1" s="36"/>
      <c r="E1" s="36"/>
      <c r="F1" s="36"/>
    </row>
    <row r="2" spans="1:6" ht="8" customHeight="1" x14ac:dyDescent="0.2"/>
    <row r="3" spans="1:6" ht="22" customHeight="1" x14ac:dyDescent="0.2">
      <c r="A3" s="37" t="s">
        <v>44</v>
      </c>
      <c r="B3" s="38"/>
      <c r="C3" s="38"/>
      <c r="D3" s="38"/>
      <c r="E3" s="38"/>
      <c r="F3" s="39"/>
    </row>
    <row r="4" spans="1:6" ht="18" customHeight="1" x14ac:dyDescent="0.2">
      <c r="A4" s="4" t="s">
        <v>45</v>
      </c>
      <c r="B4" s="5">
        <f>'Финансовая модель'!B5</f>
        <v>100000</v>
      </c>
      <c r="C4" s="36"/>
      <c r="D4" s="36"/>
      <c r="E4" s="36"/>
      <c r="F4" s="36"/>
    </row>
    <row r="5" spans="1:6" ht="18" customHeight="1" x14ac:dyDescent="0.2">
      <c r="A5" s="4" t="s">
        <v>46</v>
      </c>
      <c r="B5" s="5">
        <f>'Финансовая модель'!B8</f>
        <v>100000</v>
      </c>
      <c r="C5" s="36"/>
      <c r="D5" s="36"/>
      <c r="E5" s="36"/>
      <c r="F5" s="36"/>
    </row>
    <row r="6" spans="1:6" ht="18" customHeight="1" x14ac:dyDescent="0.2">
      <c r="A6" s="4" t="s">
        <v>47</v>
      </c>
      <c r="B6" s="5">
        <f>'Финансовая модель'!B9</f>
        <v>500000</v>
      </c>
      <c r="C6" s="36"/>
      <c r="D6" s="36"/>
      <c r="E6" s="36"/>
      <c r="F6" s="36"/>
    </row>
    <row r="7" spans="1:6" ht="18" customHeight="1" x14ac:dyDescent="0.2">
      <c r="A7" s="4" t="s">
        <v>48</v>
      </c>
      <c r="B7" s="6">
        <f>'Финансовая модель'!B10</f>
        <v>0.03</v>
      </c>
      <c r="C7" s="36"/>
      <c r="D7" s="36"/>
      <c r="E7" s="36"/>
      <c r="F7" s="36"/>
    </row>
    <row r="8" spans="1:6" ht="18" customHeight="1" x14ac:dyDescent="0.2">
      <c r="A8" s="4" t="s">
        <v>49</v>
      </c>
      <c r="B8" s="5">
        <f>'Финансовая модель'!B11</f>
        <v>1200000</v>
      </c>
      <c r="C8" s="36"/>
      <c r="D8" s="36"/>
      <c r="E8" s="36"/>
      <c r="F8" s="36"/>
    </row>
    <row r="9" spans="1:6" ht="8" customHeight="1" x14ac:dyDescent="0.2"/>
    <row r="10" spans="1:6" ht="24" customHeight="1" x14ac:dyDescent="0.2">
      <c r="A10" s="37" t="s">
        <v>50</v>
      </c>
      <c r="B10" s="38"/>
      <c r="C10" s="38"/>
      <c r="D10" s="38"/>
      <c r="E10" s="38"/>
      <c r="F10" s="39"/>
    </row>
    <row r="11" spans="1:6" ht="32" customHeight="1" x14ac:dyDescent="0.2">
      <c r="A11" s="7" t="s">
        <v>51</v>
      </c>
      <c r="B11" s="7" t="s">
        <v>52</v>
      </c>
      <c r="C11" s="7" t="s">
        <v>53</v>
      </c>
      <c r="D11" s="7" t="s">
        <v>54</v>
      </c>
      <c r="E11" s="7" t="s">
        <v>55</v>
      </c>
      <c r="F11" s="7" t="s">
        <v>56</v>
      </c>
    </row>
    <row r="12" spans="1:6" ht="20" customHeight="1" x14ac:dyDescent="0.2">
      <c r="A12" s="8">
        <v>150</v>
      </c>
      <c r="B12" s="9">
        <f>A12*B4</f>
        <v>15000000</v>
      </c>
      <c r="C12" s="9">
        <f>CEILING(A12/10,1)*MIN(B4,B5)</f>
        <v>1500000</v>
      </c>
      <c r="D12" s="9">
        <f>MIN(B6+B12*B7,B8)</f>
        <v>950000</v>
      </c>
      <c r="E12" s="10">
        <f>B12-C12-D12</f>
        <v>12550000</v>
      </c>
      <c r="F12" s="11">
        <f>IF(B12=0,0,E12/B12)</f>
        <v>0.83666666666666667</v>
      </c>
    </row>
    <row r="13" spans="1:6" ht="20" customHeight="1" x14ac:dyDescent="0.2">
      <c r="A13" s="12">
        <v>200</v>
      </c>
      <c r="B13" s="13">
        <f>A13*B4</f>
        <v>20000000</v>
      </c>
      <c r="C13" s="13">
        <f>CEILING(A13/10,1)*MIN(B4,B5)</f>
        <v>2000000</v>
      </c>
      <c r="D13" s="13">
        <f>MIN(B6+B13*B7,B8)</f>
        <v>1100000</v>
      </c>
      <c r="E13" s="10">
        <f>B13-C13-D13</f>
        <v>16900000</v>
      </c>
      <c r="F13" s="11">
        <f>IF(B13=0,0,E13/B13)</f>
        <v>0.84499999999999997</v>
      </c>
    </row>
    <row r="14" spans="1:6" ht="20" customHeight="1" x14ac:dyDescent="0.2">
      <c r="A14" s="8">
        <v>250</v>
      </c>
      <c r="B14" s="9">
        <f>A14*B4</f>
        <v>25000000</v>
      </c>
      <c r="C14" s="9">
        <f>CEILING(A14/10,1)*MIN(B4,B5)</f>
        <v>2500000</v>
      </c>
      <c r="D14" s="9">
        <f>MIN(B6+B14*B7,B8)</f>
        <v>1200000</v>
      </c>
      <c r="E14" s="10">
        <f>B14-C14-D14</f>
        <v>21300000</v>
      </c>
      <c r="F14" s="11">
        <f>IF(B14=0,0,E14/B14)</f>
        <v>0.85199999999999998</v>
      </c>
    </row>
    <row r="15" spans="1:6" ht="20" customHeight="1" x14ac:dyDescent="0.2">
      <c r="A15" s="12">
        <v>300</v>
      </c>
      <c r="B15" s="13">
        <f>A15*B4</f>
        <v>30000000</v>
      </c>
      <c r="C15" s="13">
        <f>CEILING(A15/10,1)*MIN(B4,B5)</f>
        <v>3000000</v>
      </c>
      <c r="D15" s="13">
        <f>MIN(B6+B15*B7,B8)</f>
        <v>1200000</v>
      </c>
      <c r="E15" s="10">
        <f>B15-C15-D15</f>
        <v>25800000</v>
      </c>
      <c r="F15" s="11">
        <f>IF(B15=0,0,E15/B15)</f>
        <v>0.86</v>
      </c>
    </row>
    <row r="16" spans="1:6" ht="20" customHeight="1" x14ac:dyDescent="0.2">
      <c r="A16" s="8">
        <v>400</v>
      </c>
      <c r="B16" s="9">
        <f>A16*B4</f>
        <v>40000000</v>
      </c>
      <c r="C16" s="9">
        <f>CEILING(A16/10,1)*MIN(B4,B5)</f>
        <v>4000000</v>
      </c>
      <c r="D16" s="9">
        <f>MIN(B6+B16*B7,B8)</f>
        <v>1200000</v>
      </c>
      <c r="E16" s="10">
        <f>B16-C16-D16</f>
        <v>34800000</v>
      </c>
      <c r="F16" s="11">
        <f>IF(B16=0,0,E16/B16)</f>
        <v>0.87</v>
      </c>
    </row>
    <row r="17" spans="1:6" ht="8" customHeight="1" x14ac:dyDescent="0.2"/>
    <row r="18" spans="1:6" ht="24" customHeight="1" x14ac:dyDescent="0.2">
      <c r="A18" s="37" t="s">
        <v>57</v>
      </c>
      <c r="B18" s="38"/>
      <c r="C18" s="38"/>
      <c r="D18" s="38"/>
      <c r="E18" s="38"/>
      <c r="F18" s="39"/>
    </row>
    <row r="19" spans="1:6" ht="20" customHeight="1" x14ac:dyDescent="0.2">
      <c r="A19" s="1" t="s">
        <v>16</v>
      </c>
      <c r="B19" s="1" t="s">
        <v>58</v>
      </c>
      <c r="C19" s="41"/>
      <c r="D19" s="36"/>
      <c r="E19" s="36"/>
      <c r="F19" s="36"/>
    </row>
    <row r="20" spans="1:6" ht="20" customHeight="1" x14ac:dyDescent="0.2">
      <c r="A20" s="14" t="s">
        <v>37</v>
      </c>
      <c r="B20" s="2">
        <f>B14</f>
        <v>25000000</v>
      </c>
      <c r="C20" s="36"/>
      <c r="D20" s="36"/>
      <c r="E20" s="36"/>
      <c r="F20" s="36"/>
    </row>
    <row r="21" spans="1:6" ht="20" customHeight="1" x14ac:dyDescent="0.2">
      <c r="A21" s="14" t="s">
        <v>21</v>
      </c>
      <c r="B21" s="2">
        <f>C14</f>
        <v>2500000</v>
      </c>
      <c r="C21" s="36"/>
      <c r="D21" s="36"/>
      <c r="E21" s="36"/>
      <c r="F21" s="36"/>
    </row>
    <row r="22" spans="1:6" ht="20" customHeight="1" x14ac:dyDescent="0.2">
      <c r="A22" s="14" t="s">
        <v>38</v>
      </c>
      <c r="B22" s="2">
        <f>D14</f>
        <v>1200000</v>
      </c>
      <c r="C22" s="36"/>
      <c r="D22" s="36"/>
      <c r="E22" s="36"/>
      <c r="F22" s="36"/>
    </row>
    <row r="23" spans="1:6" ht="20" customHeight="1" x14ac:dyDescent="0.2">
      <c r="A23" s="14" t="s">
        <v>39</v>
      </c>
      <c r="B23" s="2">
        <f>E14</f>
        <v>21300000</v>
      </c>
      <c r="C23" s="36"/>
      <c r="D23" s="36"/>
      <c r="E23" s="36"/>
      <c r="F23" s="36"/>
    </row>
    <row r="24" spans="1:6" ht="20" customHeight="1" x14ac:dyDescent="0.2">
      <c r="A24" s="14" t="s">
        <v>56</v>
      </c>
      <c r="B24" s="3">
        <f>F14</f>
        <v>0.85199999999999998</v>
      </c>
      <c r="C24" s="36"/>
      <c r="D24" s="36"/>
      <c r="E24" s="36"/>
      <c r="F24" s="36"/>
    </row>
    <row r="25" spans="1:6" ht="8" customHeight="1" x14ac:dyDescent="0.2"/>
    <row r="26" spans="1:6" x14ac:dyDescent="0.2">
      <c r="A26" s="35" t="s">
        <v>59</v>
      </c>
      <c r="B26" s="36"/>
      <c r="C26" s="36"/>
      <c r="D26" s="36"/>
      <c r="E26" s="36"/>
      <c r="F26" s="36"/>
    </row>
  </sheetData>
  <mergeCells count="16">
    <mergeCell ref="A1:F1"/>
    <mergeCell ref="C20:F20"/>
    <mergeCell ref="C6:F6"/>
    <mergeCell ref="C7:F7"/>
    <mergeCell ref="C22:F22"/>
    <mergeCell ref="C19:F19"/>
    <mergeCell ref="A10:F10"/>
    <mergeCell ref="C8:F8"/>
    <mergeCell ref="C21:F21"/>
    <mergeCell ref="A26:F26"/>
    <mergeCell ref="A18:F18"/>
    <mergeCell ref="A3:F3"/>
    <mergeCell ref="C5:F5"/>
    <mergeCell ref="C24:F24"/>
    <mergeCell ref="C4:F4"/>
    <mergeCell ref="C23:F23"/>
  </mergeCells>
  <pageMargins left="0.5" right="0.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Финансовая модель</vt:lpstr>
      <vt:lpstr>Сценарии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2026-06-04T07:20:38Z</dcterms:created>
  <dcterms:modified xsi:type="dcterms:W3CDTF">2026-06-04T12:17:06Z</dcterms:modified>
</cp:coreProperties>
</file>