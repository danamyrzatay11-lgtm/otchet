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namyrzatay/Documents/my-first-site/"/>
    </mc:Choice>
  </mc:AlternateContent>
  <xr:revisionPtr revIDLastSave="0" documentId="13_ncr:1_{707598A5-C640-1746-9889-0E18BB3B1856}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Группа B2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8" i="1"/>
  <c r="G9" i="1"/>
  <c r="F9" i="1"/>
  <c r="F8" i="1"/>
  <c r="E2" i="1"/>
  <c r="D4" i="1" s="1"/>
  <c r="G4" i="1" s="1"/>
  <c r="F4" i="1" l="1"/>
  <c r="D5" i="1"/>
  <c r="D6" i="1"/>
  <c r="D7" i="1"/>
  <c r="F6" i="1" l="1"/>
  <c r="G6" i="1"/>
  <c r="F5" i="1"/>
  <c r="G5" i="1"/>
  <c r="F7" i="1"/>
  <c r="G7" i="1"/>
  <c r="D10" i="1"/>
  <c r="G10" i="1" l="1"/>
  <c r="D11" i="1"/>
  <c r="G11" i="1" s="1"/>
  <c r="D12" i="1"/>
  <c r="D13" i="1"/>
  <c r="F13" i="1" l="1"/>
  <c r="G13" i="1"/>
  <c r="F12" i="1"/>
  <c r="G12" i="1"/>
  <c r="D14" i="1"/>
  <c r="F11" i="1"/>
  <c r="F16" i="1" l="1"/>
  <c r="G14" i="1"/>
  <c r="H16" i="1" s="1"/>
</calcChain>
</file>

<file path=xl/sharedStrings.xml><?xml version="1.0" encoding="utf-8"?>
<sst xmlns="http://schemas.openxmlformats.org/spreadsheetml/2006/main" count="26" uniqueCount="26">
  <si>
    <t>количество
человек</t>
  </si>
  <si>
    <t>стоимость за
человека</t>
  </si>
  <si>
    <t>Оплата от
группы</t>
  </si>
  <si>
    <t>Затраты</t>
  </si>
  <si>
    <t>%</t>
  </si>
  <si>
    <t>Ставка за 1
группу</t>
  </si>
  <si>
    <t>Количество</t>
  </si>
  <si>
    <t>Заработок на
человека</t>
  </si>
  <si>
    <t>1</t>
  </si>
  <si>
    <t>Коуч (делим на группу)</t>
  </si>
  <si>
    <t>2</t>
  </si>
  <si>
    <t>Тренер Технарь (делим на группу)</t>
  </si>
  <si>
    <t>3</t>
  </si>
  <si>
    <t>4</t>
  </si>
  <si>
    <t>Доля Федерации</t>
  </si>
  <si>
    <t>5</t>
  </si>
  <si>
    <t>Лицензии</t>
  </si>
  <si>
    <t>Вода, аренда, интернет</t>
  </si>
  <si>
    <t>Итого Затраты</t>
  </si>
  <si>
    <t>Доля авторские методологии Тимур</t>
  </si>
  <si>
    <t>Доля авторские методологии Галия</t>
  </si>
  <si>
    <t>Итого Доли</t>
  </si>
  <si>
    <t>итого</t>
  </si>
  <si>
    <t>Группа B2B</t>
  </si>
  <si>
    <t>Руководитель проекта</t>
  </si>
  <si>
    <t>Доля авторские методологии Аселя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</si>
</sst>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₸&quot;_-;\-* #,##0.00\ &quot;₸&quot;_-;_-* &quot;-&quot;??\ &quot;₸&quot;_-;_-@_-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0" fillId="2" borderId="1" xfId="0" applyFill="1" applyBorder="1"/>
    <xf numFmtId="0" fontId="1" fillId="0" borderId="1" xfId="0" applyFont="1" applyBorder="1" applyAlignment="1">
      <alignment horizontal="right" vertical="center"/>
    </xf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170" zoomScaleNormal="170" workbookViewId="0">
      <pane ySplit="3" topLeftCell="A4" activePane="bottomLeft" state="frozen"/>
      <selection pane="bottomLeft" activeCell="H9" sqref="H9"/>
    </sheetView>
  </sheetViews>
  <sheetFormatPr baseColWidth="10" defaultColWidth="8.83203125" defaultRowHeight="15" x14ac:dyDescent="0.2"/>
  <cols>
    <col min="1" max="1" width="4" customWidth="1"/>
    <col min="2" max="2" width="36" customWidth="1"/>
    <col min="3" max="3" width="12" customWidth="1"/>
    <col min="4" max="4" width="16" customWidth="1"/>
    <col min="5" max="5" width="12" customWidth="1"/>
    <col min="6" max="6" width="18" customWidth="1"/>
    <col min="7" max="7" width="19.33203125" customWidth="1"/>
    <col min="8" max="8" width="19.1640625" customWidth="1"/>
  </cols>
  <sheetData>
    <row r="1" spans="1:8" ht="32" customHeight="1" x14ac:dyDescent="0.2">
      <c r="B1" s="21" t="s">
        <v>23</v>
      </c>
      <c r="C1" s="1" t="s">
        <v>0</v>
      </c>
      <c r="D1" s="1" t="s">
        <v>1</v>
      </c>
      <c r="E1" s="1" t="s">
        <v>2</v>
      </c>
      <c r="F1" s="2"/>
    </row>
    <row r="2" spans="1:8" ht="18" customHeight="1" x14ac:dyDescent="0.2">
      <c r="B2" s="22"/>
      <c r="C2" s="3">
        <v>20</v>
      </c>
      <c r="D2" s="4">
        <v>100000</v>
      </c>
      <c r="E2" s="3">
        <f>C2*D2</f>
        <v>2000000</v>
      </c>
      <c r="F2" s="5">
        <v>1</v>
      </c>
      <c r="G2">
        <v>100</v>
      </c>
      <c r="H2" s="23">
        <f>E2*G2</f>
        <v>200000000</v>
      </c>
    </row>
    <row r="3" spans="1:8" ht="28" customHeight="1" x14ac:dyDescent="0.2">
      <c r="A3" s="6"/>
      <c r="B3" s="7" t="s">
        <v>3</v>
      </c>
      <c r="C3" s="8" t="s">
        <v>4</v>
      </c>
      <c r="D3" s="9" t="s">
        <v>5</v>
      </c>
      <c r="E3" s="8" t="s">
        <v>6</v>
      </c>
      <c r="F3" s="9" t="s">
        <v>7</v>
      </c>
    </row>
    <row r="4" spans="1:8" ht="18" customHeight="1" x14ac:dyDescent="0.2">
      <c r="A4" s="10" t="s">
        <v>8</v>
      </c>
      <c r="B4" s="11" t="s">
        <v>9</v>
      </c>
      <c r="C4" s="12">
        <v>0.1</v>
      </c>
      <c r="D4" s="13">
        <f>$E$2*C4</f>
        <v>200000</v>
      </c>
      <c r="E4" s="14">
        <v>1</v>
      </c>
      <c r="F4" s="13">
        <f t="shared" ref="F4:F9" si="0">D4/E4</f>
        <v>200000</v>
      </c>
      <c r="G4" s="23">
        <f>D4*50</f>
        <v>10000000</v>
      </c>
    </row>
    <row r="5" spans="1:8" ht="18" customHeight="1" x14ac:dyDescent="0.2">
      <c r="A5" s="10" t="s">
        <v>10</v>
      </c>
      <c r="B5" s="11" t="s">
        <v>11</v>
      </c>
      <c r="C5" s="12">
        <v>0.1</v>
      </c>
      <c r="D5" s="13">
        <f>$E$2*C5</f>
        <v>200000</v>
      </c>
      <c r="E5" s="14">
        <v>2</v>
      </c>
      <c r="F5" s="13">
        <f t="shared" si="0"/>
        <v>100000</v>
      </c>
      <c r="G5" s="23">
        <f t="shared" ref="G5:G14" si="1">D5*50</f>
        <v>10000000</v>
      </c>
    </row>
    <row r="6" spans="1:8" ht="18" customHeight="1" x14ac:dyDescent="0.2">
      <c r="A6" s="10" t="s">
        <v>12</v>
      </c>
      <c r="B6" s="11" t="s">
        <v>24</v>
      </c>
      <c r="C6" s="12">
        <v>0.03</v>
      </c>
      <c r="D6" s="13">
        <f>$E$2*C6</f>
        <v>60000</v>
      </c>
      <c r="E6" s="14">
        <v>1</v>
      </c>
      <c r="F6" s="13">
        <f t="shared" si="0"/>
        <v>60000</v>
      </c>
      <c r="G6" s="23">
        <f t="shared" si="1"/>
        <v>3000000</v>
      </c>
    </row>
    <row r="7" spans="1:8" ht="18" customHeight="1" x14ac:dyDescent="0.2">
      <c r="A7" s="10" t="s">
        <v>13</v>
      </c>
      <c r="B7" s="11" t="s">
        <v>14</v>
      </c>
      <c r="C7" s="12">
        <v>0.3</v>
      </c>
      <c r="D7" s="13">
        <f>$E$2*C7</f>
        <v>600000</v>
      </c>
      <c r="E7" s="14">
        <v>1</v>
      </c>
      <c r="F7" s="13">
        <f t="shared" si="0"/>
        <v>600000</v>
      </c>
      <c r="G7" s="23">
        <f t="shared" si="1"/>
        <v>30000000</v>
      </c>
    </row>
    <row r="8" spans="1:8" ht="18" customHeight="1" x14ac:dyDescent="0.2">
      <c r="A8" s="10" t="s">
        <v>15</v>
      </c>
      <c r="B8" s="11" t="s">
        <v>16</v>
      </c>
      <c r="C8" s="14">
        <v>1</v>
      </c>
      <c r="D8" s="14">
        <v>144000</v>
      </c>
      <c r="E8" s="14">
        <v>1</v>
      </c>
      <c r="F8" s="13">
        <f t="shared" si="0"/>
        <v>144000</v>
      </c>
      <c r="G8" s="23">
        <f t="shared" si="1"/>
        <v>7200000</v>
      </c>
    </row>
    <row r="9" spans="1:8" ht="18" customHeight="1" x14ac:dyDescent="0.2">
      <c r="A9" s="10">
        <v>6</v>
      </c>
      <c r="B9" s="11" t="s">
        <v>17</v>
      </c>
      <c r="C9" s="10"/>
      <c r="D9" s="14">
        <v>50000</v>
      </c>
      <c r="E9" s="14">
        <v>1</v>
      </c>
      <c r="F9" s="13">
        <f t="shared" si="0"/>
        <v>50000</v>
      </c>
      <c r="G9" s="23">
        <f t="shared" si="1"/>
        <v>2500000</v>
      </c>
    </row>
    <row r="10" spans="1:8" ht="20" customHeight="1" x14ac:dyDescent="0.2">
      <c r="A10" s="2"/>
      <c r="B10" s="17" t="s">
        <v>18</v>
      </c>
      <c r="C10" s="18"/>
      <c r="D10" s="15">
        <f>SUM(D4:D9)</f>
        <v>1254000</v>
      </c>
      <c r="E10" s="2"/>
      <c r="F10" s="2"/>
      <c r="G10" s="23">
        <f t="shared" si="1"/>
        <v>62700000</v>
      </c>
    </row>
    <row r="11" spans="1:8" ht="18" customHeight="1" x14ac:dyDescent="0.2">
      <c r="A11" s="10">
        <v>9</v>
      </c>
      <c r="B11" s="11" t="s">
        <v>25</v>
      </c>
      <c r="C11" s="12">
        <v>0.25</v>
      </c>
      <c r="D11" s="13">
        <f>($E$2-$D$10)*C11</f>
        <v>186500</v>
      </c>
      <c r="E11" s="14">
        <v>1</v>
      </c>
      <c r="F11" s="13">
        <f>D11/E11</f>
        <v>186500</v>
      </c>
      <c r="G11" s="23">
        <f t="shared" si="1"/>
        <v>9325000</v>
      </c>
    </row>
    <row r="12" spans="1:8" ht="18" customHeight="1" x14ac:dyDescent="0.2">
      <c r="A12" s="10">
        <v>10</v>
      </c>
      <c r="B12" s="11" t="s">
        <v>19</v>
      </c>
      <c r="C12" s="12">
        <v>0.25</v>
      </c>
      <c r="D12" s="13">
        <f>($E$2-$D$10)*C12</f>
        <v>186500</v>
      </c>
      <c r="E12" s="14">
        <v>1</v>
      </c>
      <c r="F12" s="13">
        <f>D12/E12</f>
        <v>186500</v>
      </c>
      <c r="G12" s="23">
        <f t="shared" si="1"/>
        <v>9325000</v>
      </c>
    </row>
    <row r="13" spans="1:8" ht="18" customHeight="1" x14ac:dyDescent="0.2">
      <c r="A13" s="10">
        <v>11</v>
      </c>
      <c r="B13" s="11" t="s">
        <v>20</v>
      </c>
      <c r="C13" s="12">
        <v>0.25</v>
      </c>
      <c r="D13" s="13">
        <f>($E$2-$D$10)*C13</f>
        <v>186500</v>
      </c>
      <c r="E13" s="14">
        <v>1</v>
      </c>
      <c r="F13" s="13">
        <f>D13/E13</f>
        <v>186500</v>
      </c>
      <c r="G13" s="23">
        <f t="shared" si="1"/>
        <v>9325000</v>
      </c>
    </row>
    <row r="14" spans="1:8" ht="20" customHeight="1" x14ac:dyDescent="0.2">
      <c r="A14" s="2"/>
      <c r="B14" s="17" t="s">
        <v>21</v>
      </c>
      <c r="C14" s="18"/>
      <c r="D14" s="15">
        <f>SUM(D11:D13)</f>
        <v>559500</v>
      </c>
      <c r="E14" s="2"/>
      <c r="F14" s="2"/>
      <c r="G14" s="23">
        <f t="shared" si="1"/>
        <v>27975000</v>
      </c>
    </row>
    <row r="15" spans="1:8" ht="8" customHeight="1" x14ac:dyDescent="0.2"/>
    <row r="16" spans="1:8" ht="20" customHeight="1" x14ac:dyDescent="0.2">
      <c r="A16" s="10"/>
      <c r="B16" s="10"/>
      <c r="C16" s="19" t="s">
        <v>22</v>
      </c>
      <c r="D16" s="20"/>
      <c r="E16" s="20"/>
      <c r="F16" s="16">
        <f>D10+D14</f>
        <v>1813500</v>
      </c>
      <c r="H16" s="24">
        <f>H2-G10-G14</f>
        <v>109325000</v>
      </c>
    </row>
  </sheetData>
  <mergeCells count="4">
    <mergeCell ref="B10:C10"/>
    <mergeCell ref="C16:E16"/>
    <mergeCell ref="B1:B2"/>
    <mergeCell ref="B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Группа 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2026-06-04T13:47:36Z</dcterms:created>
  <dcterms:modified xsi:type="dcterms:W3CDTF">2026-06-04T14:30:23Z</dcterms:modified>
</cp:coreProperties>
</file>